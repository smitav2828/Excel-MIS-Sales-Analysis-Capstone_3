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<sst xmlns="http://schemas.openxmlformats.org/spreadsheetml/2006/main" count="85" uniqueCount="52">
  <si>
    <t>TransID</t>
  </si>
  <si>
    <t>Date</t>
  </si>
  <si>
    <t>RepID</t>
  </si>
  <si>
    <t>ProductID</t>
  </si>
  <si>
    <t>Qty</t>
  </si>
  <si>
    <t>Rep_Name</t>
  </si>
  <si>
    <t>Region</t>
  </si>
  <si>
    <t>Unit_Price</t>
  </si>
  <si>
    <t>Total_Revenue</t>
  </si>
  <si>
    <t>TX-1001</t>
  </si>
  <si>
    <t>R-001</t>
  </si>
  <si>
    <t>P-500</t>
  </si>
  <si>
    <t>TX-1002</t>
  </si>
  <si>
    <t>R-002</t>
  </si>
  <si>
    <t>P-505</t>
  </si>
  <si>
    <t>TX-1003</t>
  </si>
  <si>
    <t>R-003</t>
  </si>
  <si>
    <t>TX-1004</t>
  </si>
  <si>
    <t>P-502</t>
  </si>
  <si>
    <t>TX-1005</t>
  </si>
  <si>
    <t>R-004</t>
  </si>
  <si>
    <t>TX-1006</t>
  </si>
  <si>
    <t>P-501</t>
  </si>
  <si>
    <t>TX-1007</t>
  </si>
  <si>
    <t>TX-1008</t>
  </si>
  <si>
    <t>R-005</t>
  </si>
  <si>
    <t>TX-1009</t>
  </si>
  <si>
    <t>TX-1010</t>
  </si>
  <si>
    <t>TX-1011</t>
  </si>
  <si>
    <t>TX-1012</t>
  </si>
  <si>
    <t>TX-1013</t>
  </si>
  <si>
    <t>TX-1014</t>
  </si>
  <si>
    <t>TX-1015</t>
  </si>
  <si>
    <t>RepName</t>
  </si>
  <si>
    <t>Rep_ID1</t>
  </si>
  <si>
    <t>Region 1</t>
  </si>
  <si>
    <t>Alice Smith</t>
  </si>
  <si>
    <t>North</t>
  </si>
  <si>
    <t>Bob Jones</t>
  </si>
  <si>
    <t>South</t>
  </si>
  <si>
    <t xml:space="preserve">R-003 </t>
  </si>
  <si>
    <t>Charlie Day</t>
  </si>
  <si>
    <t>East</t>
  </si>
  <si>
    <t>Diana Prince</t>
  </si>
  <si>
    <t>West</t>
  </si>
  <si>
    <t>Ethan Hunt</t>
  </si>
  <si>
    <t>ProductName</t>
  </si>
  <si>
    <t>UnitPrice</t>
  </si>
  <si>
    <t>Pro Widget</t>
  </si>
  <si>
    <t>Mega Gadget</t>
  </si>
  <si>
    <t>Ultra Gizmo</t>
  </si>
  <si>
    <t>Power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</si>
</sst>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6" displayName="Transaction_Table" name="Transaction_Table" id="1">
  <tableColumns count="9">
    <tableColumn name="TransID" id="1"/>
    <tableColumn name="Date" id="2"/>
    <tableColumn name="RepID" id="3"/>
    <tableColumn name="ProductID" id="4"/>
    <tableColumn name="Qty" id="5"/>
    <tableColumn name="Rep_Name" id="6"/>
    <tableColumn name="Region" id="7"/>
    <tableColumn name="Unit_Price" id="8"/>
    <tableColumn name="Total_Revenu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E6" displayName="Table1" name="Table1" id="2">
  <tableColumns count="5">
    <tableColumn name="RepID" id="1"/>
    <tableColumn name="RepName" id="2"/>
    <tableColumn name="Region" id="3"/>
    <tableColumn name="Rep_ID1" id="4"/>
    <tableColumn name="Region 1" id="5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1:C5" displayName="Table2" name="Table2" id="3">
  <tableColumns count="3">
    <tableColumn name="ProductID" id="1"/>
    <tableColumn name="ProductName" id="2"/>
    <tableColumn name="UnitPrice" id="3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4.29"/>
    <col customWidth="1" min="3" max="3" width="11.86"/>
    <col customWidth="1" min="4" max="4" width="15.57"/>
    <col customWidth="1" min="5" max="5" width="9.43"/>
    <col customWidth="1" min="6" max="6" width="16.43"/>
    <col customWidth="1" min="7" max="7" width="12.71"/>
    <col customWidth="1" min="8" max="8" width="15.71"/>
    <col customWidth="1" min="9" max="9" width="19.86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3" t="s">
        <v>9</v>
      </c>
      <c r="B2" s="4">
        <v>45231.0</v>
      </c>
      <c r="C2" s="3" t="s">
        <v>10</v>
      </c>
      <c r="D2" s="3" t="s">
        <v>11</v>
      </c>
      <c r="E2" s="3">
        <v>5.0</v>
      </c>
      <c r="F2" s="3" t="str">
        <f t="array" ref="F2">xlookup(C2,Sheet2!$D$1:$D$6,Sheet2!$B$1:$B$6,"Not Found",0,1)</f>
        <v>Alice Smith</v>
      </c>
      <c r="G2" s="3" t="str">
        <f t="array" ref="G2">xlookup(C2,Sheet2!$D$2:$D$6,Sheet2!$E$2:$E$6,"Not Found",0,1)</f>
        <v>North</v>
      </c>
      <c r="H2" s="3">
        <f t="array" ref="H2">xlookup(D2,Sheet3!$A$2:$A$5,Sheet3!$C$2:$C$5,"Not Found",0,1)</f>
        <v>25</v>
      </c>
      <c r="I2" s="3">
        <f t="shared" ref="I2:I16" si="1">H2*E2</f>
        <v>125</v>
      </c>
    </row>
    <row r="3" ht="14.25" customHeight="1">
      <c r="A3" s="3" t="s">
        <v>12</v>
      </c>
      <c r="B3" s="4">
        <v>45231.0</v>
      </c>
      <c r="C3" s="3" t="s">
        <v>13</v>
      </c>
      <c r="D3" s="3" t="s">
        <v>14</v>
      </c>
      <c r="E3" s="3">
        <v>2.0</v>
      </c>
      <c r="F3" s="3" t="str">
        <f t="array" ref="F3">xlookup(C3,Sheet2!$D$1:$D$6,Sheet2!$B$1:$B$6,"Not Found",0,1)</f>
        <v>Bob Jones</v>
      </c>
      <c r="G3" s="3" t="str">
        <f t="array" ref="G3">xlookup(C3,Sheet2!$D$2:$D$6,Sheet2!$E$2:$E$6,"Not Found",0,1)</f>
        <v>South</v>
      </c>
      <c r="H3" s="3">
        <f t="array" ref="H3">xlookup(D3,Sheet3!$A$2:$A$5,Sheet3!$C$2:$C$5,"Not Found",0,1)</f>
        <v>30</v>
      </c>
      <c r="I3" s="3">
        <f t="shared" si="1"/>
        <v>60</v>
      </c>
    </row>
    <row r="4" ht="14.25" customHeight="1">
      <c r="A4" s="3" t="s">
        <v>15</v>
      </c>
      <c r="B4" s="4">
        <v>45232.0</v>
      </c>
      <c r="C4" s="3" t="s">
        <v>16</v>
      </c>
      <c r="D4" s="3" t="s">
        <v>11</v>
      </c>
      <c r="E4" s="3">
        <v>1.0</v>
      </c>
      <c r="F4" s="3" t="str">
        <f t="array" ref="F4">xlookup(C4,Sheet2!$D$1:$D$6,Sheet2!$B$1:$B$6,"Not Found",0,1)</f>
        <v>Charlie Day</v>
      </c>
      <c r="G4" s="3" t="str">
        <f t="array" ref="G4">xlookup(C4,Sheet2!$D$2:$D$6,Sheet2!$E$2:$E$6,"Not Found",0,1)</f>
        <v>East</v>
      </c>
      <c r="H4" s="3">
        <f t="array" ref="H4">xlookup(D4,Sheet3!$A$2:$A$5,Sheet3!$C$2:$C$5,"Not Found",0,1)</f>
        <v>25</v>
      </c>
      <c r="I4" s="3">
        <f t="shared" si="1"/>
        <v>25</v>
      </c>
    </row>
    <row r="5" ht="14.25" customHeight="1">
      <c r="A5" s="3" t="s">
        <v>17</v>
      </c>
      <c r="B5" s="4">
        <v>45232.0</v>
      </c>
      <c r="C5" s="3" t="s">
        <v>10</v>
      </c>
      <c r="D5" s="3" t="s">
        <v>18</v>
      </c>
      <c r="E5" s="3">
        <v>10.0</v>
      </c>
      <c r="F5" s="3" t="str">
        <f t="array" ref="F5">xlookup(C5,Sheet2!$D$1:$D$6,Sheet2!$B$1:$B$6,"Not Found",0,1)</f>
        <v>Alice Smith</v>
      </c>
      <c r="G5" s="3" t="str">
        <f t="array" ref="G5">xlookup(C5,Sheet2!$D$2:$D$6,Sheet2!$E$2:$E$6,"Not Found",0,1)</f>
        <v>North</v>
      </c>
      <c r="H5" s="3">
        <f t="array" ref="H5">xlookup(D5,Sheet3!$A$2:$A$5,Sheet3!$C$2:$C$5,"Not Found",0,1)</f>
        <v>15</v>
      </c>
      <c r="I5" s="3">
        <f t="shared" si="1"/>
        <v>150</v>
      </c>
    </row>
    <row r="6" ht="14.25" customHeight="1">
      <c r="A6" s="3" t="s">
        <v>19</v>
      </c>
      <c r="B6" s="4">
        <v>45233.0</v>
      </c>
      <c r="C6" s="3" t="s">
        <v>20</v>
      </c>
      <c r="D6" s="3" t="s">
        <v>14</v>
      </c>
      <c r="E6" s="3">
        <v>3.0</v>
      </c>
      <c r="F6" s="3" t="str">
        <f t="array" ref="F6">xlookup(C6,Sheet2!$D$1:$D$6,Sheet2!$B$1:$B$6,"Not Found",0,1)</f>
        <v>Diana Prince</v>
      </c>
      <c r="G6" s="3" t="str">
        <f t="array" ref="G6">xlookup(C6,Sheet2!$D$2:$D$6,Sheet2!$E$2:$E$6,"Not Found",0,1)</f>
        <v>West</v>
      </c>
      <c r="H6" s="3">
        <f t="array" ref="H6">xlookup(D6,Sheet3!$A$2:$A$5,Sheet3!$C$2:$C$5,"Not Found",0,1)</f>
        <v>30</v>
      </c>
      <c r="I6" s="3">
        <f t="shared" si="1"/>
        <v>90</v>
      </c>
      <c r="K6" s="5"/>
    </row>
    <row r="7" ht="14.25" customHeight="1">
      <c r="A7" s="3" t="s">
        <v>21</v>
      </c>
      <c r="B7" s="4">
        <v>45233.0</v>
      </c>
      <c r="C7" s="3" t="s">
        <v>13</v>
      </c>
      <c r="D7" s="3" t="s">
        <v>22</v>
      </c>
      <c r="E7" s="3">
        <v>4.0</v>
      </c>
      <c r="F7" s="3" t="str">
        <f t="array" ref="F7">xlookup(C7,Sheet2!$D$1:$D$6,Sheet2!$B$1:$B$6,"Not Found",0,1)</f>
        <v>Bob Jones</v>
      </c>
      <c r="G7" s="3" t="str">
        <f t="array" ref="G7">xlookup(C7,Sheet2!$D$2:$D$6,Sheet2!$E$2:$E$6,"Not Found",0,1)</f>
        <v>South</v>
      </c>
      <c r="H7" s="3">
        <f t="array" ref="H7">xlookup(D7,Sheet3!$A$2:$A$5,Sheet3!$C$2:$C$5,"Not Found",0,1)</f>
        <v>45</v>
      </c>
      <c r="I7" s="3">
        <f t="shared" si="1"/>
        <v>180</v>
      </c>
    </row>
    <row r="8" ht="14.25" customHeight="1">
      <c r="A8" s="3" t="s">
        <v>23</v>
      </c>
      <c r="B8" s="4">
        <v>45234.0</v>
      </c>
      <c r="C8" s="3" t="s">
        <v>16</v>
      </c>
      <c r="D8" s="3" t="s">
        <v>18</v>
      </c>
      <c r="E8" s="3">
        <v>2.0</v>
      </c>
      <c r="F8" s="3" t="str">
        <f t="array" ref="F8">xlookup(C8,Sheet2!$D$1:$D$6,Sheet2!$B$1:$B$6,"Not Found",0,1)</f>
        <v>Charlie Day</v>
      </c>
      <c r="G8" s="3" t="str">
        <f t="array" ref="G8">xlookup(C8,Sheet2!$D$2:$D$6,Sheet2!$E$2:$E$6,"Not Found",0,1)</f>
        <v>East</v>
      </c>
      <c r="H8" s="3">
        <f t="array" ref="H8">xlookup(D8,Sheet3!$A$2:$A$5,Sheet3!$C$2:$C$5,"Not Found",0,1)</f>
        <v>15</v>
      </c>
      <c r="I8" s="3">
        <f t="shared" si="1"/>
        <v>30</v>
      </c>
    </row>
    <row r="9" ht="14.25" customHeight="1">
      <c r="A9" s="3" t="s">
        <v>24</v>
      </c>
      <c r="B9" s="4">
        <v>45235.0</v>
      </c>
      <c r="C9" s="3" t="s">
        <v>25</v>
      </c>
      <c r="D9" s="3" t="s">
        <v>11</v>
      </c>
      <c r="E9" s="3">
        <v>6.0</v>
      </c>
      <c r="F9" s="3" t="str">
        <f t="array" ref="F9">xlookup(C9,Sheet2!$D$1:$D$6,Sheet2!$B$1:$B$6,"Not Found",0,1)</f>
        <v>Ethan Hunt</v>
      </c>
      <c r="G9" s="3" t="str">
        <f t="array" ref="G9">xlookup(C9,Sheet2!$D$2:$D$6,Sheet2!$E$2:$E$6,"Not Found",0,1)</f>
        <v>North</v>
      </c>
      <c r="H9" s="3">
        <f t="array" ref="H9">xlookup(D9,Sheet3!$A$2:$A$5,Sheet3!$C$2:$C$5,"Not Found",0,1)</f>
        <v>25</v>
      </c>
      <c r="I9" s="3">
        <f t="shared" si="1"/>
        <v>150</v>
      </c>
    </row>
    <row r="10" ht="14.25" customHeight="1">
      <c r="A10" s="3" t="s">
        <v>26</v>
      </c>
      <c r="B10" s="4">
        <v>45235.0</v>
      </c>
      <c r="C10" s="3" t="s">
        <v>10</v>
      </c>
      <c r="D10" s="3" t="s">
        <v>14</v>
      </c>
      <c r="E10" s="3">
        <v>1.0</v>
      </c>
      <c r="F10" s="3" t="str">
        <f t="array" ref="F10">xlookup(C10,Sheet2!$D$1:$D$6,Sheet2!$B$1:$B$6,"Not Found",0,1)</f>
        <v>Alice Smith</v>
      </c>
      <c r="G10" s="3" t="str">
        <f t="array" ref="G10">xlookup(C10,Sheet2!$D$2:$D$6,Sheet2!$E$2:$E$6,"Not Found",0,1)</f>
        <v>North</v>
      </c>
      <c r="H10" s="3">
        <f t="array" ref="H10">xlookup(D10,Sheet3!$A$2:$A$5,Sheet3!$C$2:$C$5,"Not Found",0,1)</f>
        <v>30</v>
      </c>
      <c r="I10" s="3">
        <f t="shared" si="1"/>
        <v>30</v>
      </c>
    </row>
    <row r="11" ht="14.25" customHeight="1">
      <c r="A11" s="3" t="s">
        <v>27</v>
      </c>
      <c r="B11" s="4">
        <v>45236.0</v>
      </c>
      <c r="C11" s="3" t="s">
        <v>20</v>
      </c>
      <c r="D11" s="3" t="s">
        <v>22</v>
      </c>
      <c r="E11" s="3">
        <v>8.0</v>
      </c>
      <c r="F11" s="3" t="str">
        <f t="array" ref="F11">xlookup(C11,Sheet2!$D$1:$D$6,Sheet2!$B$1:$B$6,"Not Found",0,1)</f>
        <v>Diana Prince</v>
      </c>
      <c r="G11" s="3" t="str">
        <f t="array" ref="G11">xlookup(C11,Sheet2!$D$2:$D$6,Sheet2!$E$2:$E$6,"Not Found",0,1)</f>
        <v>West</v>
      </c>
      <c r="H11" s="3">
        <f t="array" ref="H11">xlookup(D11,Sheet3!$A$2:$A$5,Sheet3!$C$2:$C$5,"Not Found",0,1)</f>
        <v>45</v>
      </c>
      <c r="I11" s="3">
        <f t="shared" si="1"/>
        <v>360</v>
      </c>
    </row>
    <row r="12" ht="14.25" customHeight="1">
      <c r="A12" s="3" t="s">
        <v>28</v>
      </c>
      <c r="B12" s="4">
        <v>45236.0</v>
      </c>
      <c r="C12" s="3" t="s">
        <v>25</v>
      </c>
      <c r="D12" s="3" t="s">
        <v>18</v>
      </c>
      <c r="E12" s="3">
        <v>3.0</v>
      </c>
      <c r="F12" s="3" t="str">
        <f t="array" ref="F12">xlookup(C12,Sheet2!$D$1:$D$6,Sheet2!$B$1:$B$6,"Not Found",0,1)</f>
        <v>Ethan Hunt</v>
      </c>
      <c r="G12" s="3" t="str">
        <f t="array" ref="G12">xlookup(C12,Sheet2!$D$2:$D$6,Sheet2!$E$2:$E$6,"Not Found",0,1)</f>
        <v>North</v>
      </c>
      <c r="H12" s="3">
        <f t="array" ref="H12">xlookup(D12,Sheet3!$A$2:$A$5,Sheet3!$C$2:$C$5,"Not Found",0,1)</f>
        <v>15</v>
      </c>
      <c r="I12" s="3">
        <f t="shared" si="1"/>
        <v>45</v>
      </c>
    </row>
    <row r="13" ht="14.25" customHeight="1">
      <c r="A13" s="3" t="s">
        <v>29</v>
      </c>
      <c r="B13" s="4">
        <v>45237.0</v>
      </c>
      <c r="C13" s="3" t="s">
        <v>13</v>
      </c>
      <c r="D13" s="3" t="s">
        <v>11</v>
      </c>
      <c r="E13" s="3">
        <v>4.0</v>
      </c>
      <c r="F13" s="3" t="str">
        <f t="array" ref="F13">xlookup(C13,Sheet2!$D$1:$D$6,Sheet2!$B$1:$B$6,"Not Found",0,1)</f>
        <v>Bob Jones</v>
      </c>
      <c r="G13" s="3" t="str">
        <f t="array" ref="G13">xlookup(C13,Sheet2!$D$2:$D$6,Sheet2!$E$2:$E$6,"Not Found",0,1)</f>
        <v>South</v>
      </c>
      <c r="H13" s="3">
        <f t="array" ref="H13">xlookup(D13,Sheet3!$A$2:$A$5,Sheet3!$C$2:$C$5,"Not Found",0,1)</f>
        <v>25</v>
      </c>
      <c r="I13" s="3">
        <f t="shared" si="1"/>
        <v>100</v>
      </c>
    </row>
    <row r="14" ht="14.25" customHeight="1">
      <c r="A14" s="3" t="s">
        <v>30</v>
      </c>
      <c r="B14" s="4">
        <v>45237.0</v>
      </c>
      <c r="C14" s="3" t="s">
        <v>16</v>
      </c>
      <c r="D14" s="3" t="s">
        <v>14</v>
      </c>
      <c r="E14" s="3">
        <v>5.0</v>
      </c>
      <c r="F14" s="3" t="str">
        <f t="array" ref="F14">xlookup(C14,Sheet2!$D$1:$D$6,Sheet2!$B$1:$B$6,"Not Found",0,1)</f>
        <v>Charlie Day</v>
      </c>
      <c r="G14" s="3" t="str">
        <f t="array" ref="G14">xlookup(C14,Sheet2!$D$2:$D$6,Sheet2!$E$2:$E$6,"Not Found",0,1)</f>
        <v>East</v>
      </c>
      <c r="H14" s="3">
        <f t="array" ref="H14">xlookup(D14,Sheet3!$A$2:$A$5,Sheet3!$C$2:$C$5,"Not Found",0,1)</f>
        <v>30</v>
      </c>
      <c r="I14" s="3">
        <f t="shared" si="1"/>
        <v>150</v>
      </c>
    </row>
    <row r="15" ht="14.25" customHeight="1">
      <c r="A15" s="3" t="s">
        <v>31</v>
      </c>
      <c r="B15" s="4">
        <v>45238.0</v>
      </c>
      <c r="C15" s="3" t="s">
        <v>10</v>
      </c>
      <c r="D15" s="3" t="s">
        <v>22</v>
      </c>
      <c r="E15" s="3">
        <v>2.0</v>
      </c>
      <c r="F15" s="3" t="str">
        <f t="array" ref="F15">xlookup(C15,Sheet2!$D$1:$D$6,Sheet2!$B$1:$B$6,"Not Found",0,1)</f>
        <v>Alice Smith</v>
      </c>
      <c r="G15" s="3" t="str">
        <f t="array" ref="G15">xlookup(C15,Sheet2!$D$2:$D$6,Sheet2!$E$2:$E$6,"Not Found",0,1)</f>
        <v>North</v>
      </c>
      <c r="H15" s="3">
        <f t="array" ref="H15">xlookup(D15,Sheet3!$A$2:$A$5,Sheet3!$C$2:$C$5,"Not Found",0,1)</f>
        <v>45</v>
      </c>
      <c r="I15" s="3">
        <f t="shared" si="1"/>
        <v>90</v>
      </c>
    </row>
    <row r="16" ht="14.25" customHeight="1">
      <c r="A16" s="3" t="s">
        <v>32</v>
      </c>
      <c r="B16" s="4">
        <v>45238.0</v>
      </c>
      <c r="C16" s="3" t="s">
        <v>20</v>
      </c>
      <c r="D16" s="3" t="s">
        <v>18</v>
      </c>
      <c r="E16" s="3">
        <v>7.0</v>
      </c>
      <c r="F16" s="3" t="str">
        <f t="array" ref="F16">xlookup(C16,Sheet2!$D$1:$D$6,Sheet2!$B$1:$B$6,"Not Found",0,1)</f>
        <v>Diana Prince</v>
      </c>
      <c r="G16" s="3" t="str">
        <f t="array" ref="G16">xlookup(C16,Sheet2!$D$2:$D$6,Sheet2!$E$2:$E$6,"Not Found",0,1)</f>
        <v>West</v>
      </c>
      <c r="H16" s="3">
        <f t="array" ref="H16">xlookup(D16,Sheet3!$A$2:$A$5,Sheet3!$C$2:$C$5,"Not Found",0,1)</f>
        <v>15</v>
      </c>
      <c r="I16" s="3">
        <f t="shared" si="1"/>
        <v>105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B2:B16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5.43"/>
    <col customWidth="1" min="3" max="3" width="12.71"/>
    <col customWidth="1" min="4" max="4" width="14.0"/>
    <col customWidth="1" min="5" max="5" width="14.43"/>
    <col customWidth="1" min="6" max="26" width="8.71"/>
  </cols>
  <sheetData>
    <row r="1" ht="14.25" customHeight="1">
      <c r="A1" s="6" t="s">
        <v>2</v>
      </c>
      <c r="B1" s="6" t="s">
        <v>33</v>
      </c>
      <c r="C1" s="6" t="s">
        <v>6</v>
      </c>
      <c r="D1" s="7" t="s">
        <v>34</v>
      </c>
      <c r="E1" s="7" t="s">
        <v>35</v>
      </c>
    </row>
    <row r="2" ht="14.25" customHeight="1">
      <c r="A2" s="8" t="s">
        <v>10</v>
      </c>
      <c r="B2" s="8" t="s">
        <v>36</v>
      </c>
      <c r="C2" s="8" t="s">
        <v>37</v>
      </c>
      <c r="D2" s="8" t="str">
        <f t="shared" ref="D2:D6" si="1">TRIM(A2)</f>
        <v>R-001</v>
      </c>
      <c r="E2" s="8" t="str">
        <f t="shared" ref="E2:E6" si="2">trim(C2)</f>
        <v>North</v>
      </c>
    </row>
    <row r="3" ht="14.25" customHeight="1">
      <c r="A3" s="8" t="s">
        <v>13</v>
      </c>
      <c r="B3" s="8" t="s">
        <v>38</v>
      </c>
      <c r="C3" s="8" t="s">
        <v>39</v>
      </c>
      <c r="D3" s="8" t="str">
        <f t="shared" si="1"/>
        <v>R-002</v>
      </c>
      <c r="E3" s="8" t="str">
        <f t="shared" si="2"/>
        <v>South</v>
      </c>
    </row>
    <row r="4" ht="14.25" customHeight="1">
      <c r="A4" s="8" t="s">
        <v>40</v>
      </c>
      <c r="B4" s="8" t="s">
        <v>41</v>
      </c>
      <c r="C4" s="8" t="s">
        <v>42</v>
      </c>
      <c r="D4" s="8" t="str">
        <f t="shared" si="1"/>
        <v>R-003</v>
      </c>
      <c r="E4" s="8" t="str">
        <f t="shared" si="2"/>
        <v>East</v>
      </c>
    </row>
    <row r="5" ht="14.25" customHeight="1">
      <c r="A5" s="8" t="s">
        <v>20</v>
      </c>
      <c r="B5" s="8" t="s">
        <v>43</v>
      </c>
      <c r="C5" s="8" t="s">
        <v>44</v>
      </c>
      <c r="D5" s="8" t="str">
        <f t="shared" si="1"/>
        <v>R-004</v>
      </c>
      <c r="E5" s="8" t="str">
        <f t="shared" si="2"/>
        <v>West</v>
      </c>
    </row>
    <row r="6" ht="14.25" customHeight="1">
      <c r="A6" s="8" t="s">
        <v>25</v>
      </c>
      <c r="B6" s="8" t="s">
        <v>45</v>
      </c>
      <c r="C6" s="8" t="s">
        <v>37</v>
      </c>
      <c r="D6" s="8" t="str">
        <f t="shared" si="1"/>
        <v>R-005</v>
      </c>
      <c r="E6" s="8" t="str">
        <f t="shared" si="2"/>
        <v>North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9.14"/>
    <col customWidth="1" min="3" max="3" width="14.71"/>
    <col customWidth="1" min="4" max="26" width="8.71"/>
  </cols>
  <sheetData>
    <row r="1" ht="14.25" customHeight="1">
      <c r="A1" s="1" t="s">
        <v>3</v>
      </c>
      <c r="B1" s="1" t="s">
        <v>46</v>
      </c>
      <c r="C1" s="1" t="s">
        <v>47</v>
      </c>
    </row>
    <row r="2" ht="14.25" customHeight="1">
      <c r="A2" s="3" t="s">
        <v>11</v>
      </c>
      <c r="B2" s="3" t="s">
        <v>48</v>
      </c>
      <c r="C2" s="3">
        <v>25.0</v>
      </c>
    </row>
    <row r="3" ht="14.25" customHeight="1">
      <c r="A3" s="3" t="s">
        <v>22</v>
      </c>
      <c r="B3" s="3" t="s">
        <v>49</v>
      </c>
      <c r="C3" s="3">
        <v>45.0</v>
      </c>
    </row>
    <row r="4" ht="14.25" customHeight="1">
      <c r="A4" s="3" t="s">
        <v>18</v>
      </c>
      <c r="B4" s="3" t="s">
        <v>50</v>
      </c>
      <c r="C4" s="3">
        <v>15.0</v>
      </c>
    </row>
    <row r="5" ht="14.25" customHeight="1">
      <c r="A5" s="3" t="s">
        <v>14</v>
      </c>
      <c r="B5" s="3" t="s">
        <v>51</v>
      </c>
      <c r="C5" s="3">
        <v>30.0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